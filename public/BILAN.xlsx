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ogiciel\CB.JF project\public\"/>
    </mc:Choice>
  </mc:AlternateContent>
  <xr:revisionPtr revIDLastSave="0" documentId="13_ncr:1_{7C616CDE-3917-4543-9F37-4EE2AFE1D8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lan initial" sheetId="1" r:id="rId1"/>
  </sheets>
  <calcPr calcId="191029"/>
</workbook>
</file>

<file path=xl/calcChain.xml><?xml version="1.0" encoding="utf-8"?>
<calcChain xmlns="http://schemas.openxmlformats.org/spreadsheetml/2006/main">
  <c r="E64" i="1" l="1"/>
  <c r="D64" i="1"/>
  <c r="C64" i="1"/>
  <c r="D58" i="1"/>
  <c r="E53" i="1"/>
  <c r="C53" i="1"/>
  <c r="E32" i="1"/>
  <c r="C32" i="1"/>
  <c r="E9" i="1"/>
  <c r="E33" i="1" s="1"/>
  <c r="E58" i="1" s="1"/>
  <c r="C9" i="1"/>
  <c r="C33" i="1" s="1"/>
  <c r="C58" i="1" s="1"/>
</calcChain>
</file>

<file path=xl/sharedStrings.xml><?xml version="1.0" encoding="utf-8"?>
<sst xmlns="http://schemas.openxmlformats.org/spreadsheetml/2006/main" count="67" uniqueCount="64">
  <si>
    <t>ACTIF  DU BILAN</t>
  </si>
  <si>
    <t>Comptes</t>
  </si>
  <si>
    <t>designation</t>
  </si>
  <si>
    <t>Montant</t>
  </si>
  <si>
    <t>Ammo</t>
  </si>
  <si>
    <t>VNC</t>
  </si>
  <si>
    <t>A.ACTIF  IMMOBILISEE</t>
  </si>
  <si>
    <t>A.a. Immobilisation incorporel</t>
  </si>
  <si>
    <t>Licence et brevet</t>
  </si>
  <si>
    <t>Starling</t>
  </si>
  <si>
    <t>Support</t>
  </si>
  <si>
    <t>Abonnement</t>
  </si>
  <si>
    <t>Sous total immobisation incorporel</t>
  </si>
  <si>
    <t>A.b. Immobilisation corporel</t>
  </si>
  <si>
    <t>Betonière</t>
  </si>
  <si>
    <t>Rideaux</t>
  </si>
  <si>
    <t>Taapis vert</t>
  </si>
  <si>
    <t>Ordinateurs</t>
  </si>
  <si>
    <t>Imprimante</t>
  </si>
  <si>
    <t>Rallonge</t>
  </si>
  <si>
    <t>Tables bureau</t>
  </si>
  <si>
    <t>Table bureau + chaise</t>
  </si>
  <si>
    <t>Table bureau à bois</t>
  </si>
  <si>
    <t>Chaises bureau</t>
  </si>
  <si>
    <t>Chaises plastiques</t>
  </si>
  <si>
    <t>Armoires</t>
  </si>
  <si>
    <t>Banc d'attente</t>
  </si>
  <si>
    <t>Tables ingenier+ chaise à bois</t>
  </si>
  <si>
    <t>Confre fort</t>
  </si>
  <si>
    <t>fork lift</t>
  </si>
  <si>
    <t>Tracteur poclet</t>
  </si>
  <si>
    <t>Sous total immobisation corporel</t>
  </si>
  <si>
    <t>Sous total actif immobilisé</t>
  </si>
  <si>
    <t>B.ACTIF CIRCULANT</t>
  </si>
  <si>
    <t>Salopettes</t>
  </si>
  <si>
    <t>Casques</t>
  </si>
  <si>
    <t>Gants</t>
  </si>
  <si>
    <t>Cherifs</t>
  </si>
  <si>
    <t>pioches</t>
  </si>
  <si>
    <t>Decamettre</t>
  </si>
  <si>
    <t>Caches nez</t>
  </si>
  <si>
    <t>Logo</t>
  </si>
  <si>
    <t>Houes</t>
  </si>
  <si>
    <t>Beches</t>
  </si>
  <si>
    <t>Manches</t>
  </si>
  <si>
    <t>Ficelles</t>
  </si>
  <si>
    <t>Equerre</t>
  </si>
  <si>
    <t>Bidon</t>
  </si>
  <si>
    <t>barre de mine</t>
  </si>
  <si>
    <t>sacs</t>
  </si>
  <si>
    <t>Bande role</t>
  </si>
  <si>
    <t>Manchette</t>
  </si>
  <si>
    <t>Sous total actif circulant</t>
  </si>
  <si>
    <t>C.TRESORERIE ACTIF</t>
  </si>
  <si>
    <t>Banque</t>
  </si>
  <si>
    <t>Caisse</t>
  </si>
  <si>
    <t>Sous total tresorerie actif</t>
  </si>
  <si>
    <t xml:space="preserve">TOTAL ACTIF </t>
  </si>
  <si>
    <t>PASSIF DU BILAN</t>
  </si>
  <si>
    <t>A. RESSOURCE DURABLE</t>
  </si>
  <si>
    <t>Capital social</t>
  </si>
  <si>
    <t>PASSIF CIRCULANT</t>
  </si>
  <si>
    <t>fournisseur d'investissement</t>
  </si>
  <si>
    <t>TOTAL PASSIF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</si>
</sst>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4" borderId="0" applyNumberFormat="0" applyBorder="0" applyAlignment="0" applyProtection="0"/>
    <xf numFmtId="44" fontId="2" fillId="0" borderId="0" applyFont="0" applyFill="0" applyBorder="0" applyAlignment="0" applyProtection="0"/>
    <xf numFmtId="0" fontId="7" fillId="2" borderId="1" applyNumberFormat="0" applyAlignment="0" applyProtection="0"/>
  </cellStyleXfs>
  <cellXfs count="33">
    <xf numFmtId="0" fontId="0" fillId="0" borderId="0" xfId="0"/>
    <xf numFmtId="0" fontId="4" fillId="0" borderId="2" xfId="0" applyFont="1" applyBorder="1"/>
    <xf numFmtId="0" fontId="4" fillId="0" borderId="5" xfId="0" applyFont="1" applyBorder="1"/>
    <xf numFmtId="0" fontId="4" fillId="0" borderId="2" xfId="0" applyFont="1" applyBorder="1" applyAlignment="1">
      <alignment horizontal="right"/>
    </xf>
    <xf numFmtId="0" fontId="4" fillId="0" borderId="9" xfId="0" applyFont="1" applyBorder="1"/>
    <xf numFmtId="0" fontId="3" fillId="5" borderId="2" xfId="0" applyFont="1" applyFill="1" applyBorder="1"/>
    <xf numFmtId="0" fontId="0" fillId="0" borderId="2" xfId="0" applyBorder="1"/>
    <xf numFmtId="0" fontId="4" fillId="5" borderId="2" xfId="0" applyFont="1" applyFill="1" applyBorder="1"/>
    <xf numFmtId="0" fontId="3" fillId="6" borderId="2" xfId="0" applyFont="1" applyFill="1" applyBorder="1"/>
    <xf numFmtId="0" fontId="0" fillId="0" borderId="10" xfId="0" applyBorder="1"/>
    <xf numFmtId="0" fontId="4" fillId="7" borderId="2" xfId="0" applyFont="1" applyFill="1" applyBorder="1"/>
    <xf numFmtId="0" fontId="3" fillId="7" borderId="2" xfId="0" applyFont="1" applyFill="1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6">
    <cellStyle name="20 % - Accent1 2" xfId="1" xr:uid="{00000000-0005-0000-0000-000000000000}"/>
    <cellStyle name="40 % - Accent2 2" xfId="2" xr:uid="{00000000-0005-0000-0000-000001000000}"/>
    <cellStyle name="40 % - Accent2 3" xfId="3" xr:uid="{00000000-0005-0000-0000-000002000000}"/>
    <cellStyle name="Monétaire 2" xfId="4" xr:uid="{00000000-0005-0000-0000-000003000000}"/>
    <cellStyle name="Normal" xfId="0" builtinId="0"/>
    <cellStyle name="Sortie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view="pageLayout" topLeftCell="A17" zoomScale="150" zoomScaleNormal="100" zoomScalePageLayoutView="150" workbookViewId="0">
      <selection activeCell="B24" sqref="B24"/>
    </sheetView>
  </sheetViews>
  <sheetFormatPr baseColWidth="10" defaultRowHeight="14.5" x14ac:dyDescent="0.35"/>
  <cols>
    <col min="1" max="1" width="18.81640625" customWidth="1"/>
    <col min="2" max="2" width="30.1796875" customWidth="1"/>
    <col min="3" max="3" width="10.26953125" customWidth="1"/>
  </cols>
  <sheetData>
    <row r="1" spans="1:5" ht="15.5" x14ac:dyDescent="0.35">
      <c r="A1" s="25" t="s">
        <v>0</v>
      </c>
      <c r="B1" s="26"/>
      <c r="C1" s="26"/>
      <c r="D1" s="26"/>
      <c r="E1" s="26"/>
    </row>
    <row r="2" spans="1:5" ht="15.5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5.5" x14ac:dyDescent="0.35">
      <c r="A3" s="12" t="s">
        <v>6</v>
      </c>
      <c r="B3" s="18"/>
      <c r="C3" s="18"/>
      <c r="D3" s="18"/>
      <c r="E3" s="19"/>
    </row>
    <row r="4" spans="1:5" ht="15.5" x14ac:dyDescent="0.35">
      <c r="A4" s="27" t="s">
        <v>7</v>
      </c>
      <c r="B4" s="28"/>
      <c r="C4" s="28"/>
      <c r="D4" s="28"/>
      <c r="E4" s="29"/>
    </row>
    <row r="5" spans="1:5" ht="15.5" x14ac:dyDescent="0.35">
      <c r="A5" s="1">
        <v>2193000003</v>
      </c>
      <c r="B5" s="2" t="s">
        <v>8</v>
      </c>
      <c r="C5" s="3">
        <v>11848</v>
      </c>
      <c r="D5" s="3">
        <v>0</v>
      </c>
      <c r="E5" s="3">
        <v>11848</v>
      </c>
    </row>
    <row r="6" spans="1:5" ht="15.5" x14ac:dyDescent="0.35">
      <c r="A6" s="4">
        <v>2193000000</v>
      </c>
      <c r="B6" s="4" t="s">
        <v>9</v>
      </c>
      <c r="C6" s="4">
        <v>350</v>
      </c>
      <c r="D6" s="4">
        <v>0</v>
      </c>
      <c r="E6" s="4">
        <v>350</v>
      </c>
    </row>
    <row r="7" spans="1:5" ht="15.5" x14ac:dyDescent="0.35">
      <c r="A7" s="1">
        <v>2193000001</v>
      </c>
      <c r="B7" s="2" t="s">
        <v>10</v>
      </c>
      <c r="C7" s="1">
        <v>20</v>
      </c>
      <c r="D7" s="1">
        <v>0</v>
      </c>
      <c r="E7" s="1">
        <v>20</v>
      </c>
    </row>
    <row r="8" spans="1:5" ht="15.5" x14ac:dyDescent="0.35">
      <c r="A8" s="1">
        <v>2193000002</v>
      </c>
      <c r="B8" s="2" t="s">
        <v>11</v>
      </c>
      <c r="C8" s="1">
        <v>55</v>
      </c>
      <c r="D8" s="1">
        <v>0</v>
      </c>
      <c r="E8" s="1">
        <v>55</v>
      </c>
    </row>
    <row r="9" spans="1:5" ht="15.5" x14ac:dyDescent="0.35">
      <c r="A9" s="30" t="s">
        <v>12</v>
      </c>
      <c r="B9" s="31"/>
      <c r="C9" s="5">
        <f>SUM(C5:C8)</f>
        <v>12273</v>
      </c>
      <c r="D9" s="5">
        <v>0</v>
      </c>
      <c r="E9" s="5">
        <f>SUM(E5:E8)</f>
        <v>12273</v>
      </c>
    </row>
    <row r="10" spans="1:5" ht="15.5" x14ac:dyDescent="0.35">
      <c r="A10" s="32" t="s">
        <v>13</v>
      </c>
      <c r="B10" s="18"/>
      <c r="C10" s="18"/>
      <c r="D10" s="18"/>
      <c r="E10" s="19"/>
    </row>
    <row r="11" spans="1:5" ht="15.5" x14ac:dyDescent="0.35">
      <c r="A11" s="1">
        <v>2410000001</v>
      </c>
      <c r="B11" s="6" t="s">
        <v>14</v>
      </c>
      <c r="C11" s="6"/>
      <c r="D11" s="6"/>
      <c r="E11" s="6"/>
    </row>
    <row r="12" spans="1:5" ht="15.5" x14ac:dyDescent="0.35">
      <c r="A12" s="1">
        <v>2410000002</v>
      </c>
      <c r="B12" s="6"/>
      <c r="C12" s="6"/>
      <c r="D12" s="6"/>
      <c r="E12" s="6"/>
    </row>
    <row r="13" spans="1:5" ht="15.5" x14ac:dyDescent="0.35">
      <c r="A13" s="1">
        <v>2441000001</v>
      </c>
      <c r="B13" s="1" t="s">
        <v>15</v>
      </c>
      <c r="C13" s="1">
        <v>60</v>
      </c>
      <c r="D13" s="1">
        <v>0</v>
      </c>
      <c r="E13" s="1">
        <v>60</v>
      </c>
    </row>
    <row r="14" spans="1:5" ht="15.5" x14ac:dyDescent="0.35">
      <c r="A14" s="1">
        <v>2441000002</v>
      </c>
      <c r="B14" s="1" t="s">
        <v>16</v>
      </c>
      <c r="C14" s="1">
        <v>240</v>
      </c>
      <c r="D14" s="1">
        <v>0</v>
      </c>
      <c r="E14" s="1">
        <v>240</v>
      </c>
    </row>
    <row r="15" spans="1:5" ht="15.5" x14ac:dyDescent="0.35">
      <c r="A15" s="1">
        <v>2442000001</v>
      </c>
      <c r="B15" s="1" t="s">
        <v>17</v>
      </c>
      <c r="C15" s="1">
        <v>690</v>
      </c>
      <c r="D15" s="1">
        <v>0</v>
      </c>
      <c r="E15" s="1">
        <v>690</v>
      </c>
    </row>
    <row r="16" spans="1:5" ht="15.5" x14ac:dyDescent="0.35">
      <c r="A16" s="1">
        <v>2442000002</v>
      </c>
      <c r="B16" s="1" t="s">
        <v>18</v>
      </c>
      <c r="C16" s="1">
        <v>180</v>
      </c>
      <c r="D16" s="1">
        <v>0</v>
      </c>
      <c r="E16" s="1">
        <v>180</v>
      </c>
    </row>
    <row r="17" spans="1:5" ht="15.5" x14ac:dyDescent="0.35">
      <c r="A17" s="1">
        <v>2442000003</v>
      </c>
      <c r="B17" s="1" t="s">
        <v>19</v>
      </c>
      <c r="C17" s="1">
        <v>24</v>
      </c>
      <c r="D17" s="1">
        <v>0</v>
      </c>
      <c r="E17" s="1">
        <v>24</v>
      </c>
    </row>
    <row r="18" spans="1:5" ht="15.5" x14ac:dyDescent="0.35">
      <c r="A18" s="1">
        <v>2442000001</v>
      </c>
      <c r="B18" s="1" t="s">
        <v>17</v>
      </c>
      <c r="C18" s="1">
        <v>690</v>
      </c>
      <c r="D18" s="1">
        <v>0</v>
      </c>
      <c r="E18" s="1">
        <v>690</v>
      </c>
    </row>
    <row r="19" spans="1:5" ht="15.5" x14ac:dyDescent="0.35">
      <c r="A19" s="1">
        <v>2442000002</v>
      </c>
      <c r="B19" s="1" t="s">
        <v>18</v>
      </c>
      <c r="C19" s="1">
        <v>360</v>
      </c>
      <c r="D19" s="1">
        <v>0</v>
      </c>
      <c r="E19" s="1">
        <v>360</v>
      </c>
    </row>
    <row r="20" spans="1:5" ht="15.5" x14ac:dyDescent="0.35">
      <c r="A20" s="1">
        <v>2444000101</v>
      </c>
      <c r="B20" s="1" t="s">
        <v>20</v>
      </c>
      <c r="C20" s="1">
        <v>900</v>
      </c>
      <c r="D20" s="1">
        <v>0</v>
      </c>
      <c r="E20" s="1">
        <v>900</v>
      </c>
    </row>
    <row r="21" spans="1:5" ht="15.5" x14ac:dyDescent="0.35">
      <c r="A21" s="1">
        <v>2444000102</v>
      </c>
      <c r="B21" s="1" t="s">
        <v>21</v>
      </c>
      <c r="C21" s="1">
        <v>1500</v>
      </c>
      <c r="D21" s="1">
        <v>0</v>
      </c>
      <c r="E21" s="1">
        <v>1500</v>
      </c>
    </row>
    <row r="22" spans="1:5" ht="15.5" x14ac:dyDescent="0.35">
      <c r="A22" s="1">
        <v>2444000103</v>
      </c>
      <c r="B22" s="1" t="s">
        <v>22</v>
      </c>
      <c r="C22" s="1">
        <v>60</v>
      </c>
      <c r="D22" s="1">
        <v>0</v>
      </c>
      <c r="E22" s="1">
        <v>60</v>
      </c>
    </row>
    <row r="23" spans="1:5" ht="15.5" x14ac:dyDescent="0.35">
      <c r="A23" s="1">
        <v>2444000201</v>
      </c>
      <c r="B23" s="1" t="s">
        <v>23</v>
      </c>
      <c r="C23" s="1">
        <v>490</v>
      </c>
      <c r="D23" s="1">
        <v>0</v>
      </c>
      <c r="E23" s="1">
        <v>490</v>
      </c>
    </row>
    <row r="24" spans="1:5" ht="15.5" x14ac:dyDescent="0.35">
      <c r="A24" s="1">
        <v>2444000202</v>
      </c>
      <c r="B24" s="1" t="s">
        <v>23</v>
      </c>
      <c r="C24" s="1">
        <v>240</v>
      </c>
      <c r="D24" s="1">
        <v>0</v>
      </c>
      <c r="E24" s="1">
        <v>240</v>
      </c>
    </row>
    <row r="25" spans="1:5" ht="15.5" x14ac:dyDescent="0.35">
      <c r="A25" s="1">
        <v>2444000003</v>
      </c>
      <c r="B25" s="1" t="s">
        <v>24</v>
      </c>
      <c r="C25" s="1">
        <v>48</v>
      </c>
      <c r="D25" s="1">
        <v>0</v>
      </c>
      <c r="E25" s="1">
        <v>48</v>
      </c>
    </row>
    <row r="26" spans="1:5" ht="15.5" x14ac:dyDescent="0.35">
      <c r="A26" s="1">
        <v>2444000004</v>
      </c>
      <c r="B26" s="1" t="s">
        <v>25</v>
      </c>
      <c r="C26" s="1">
        <v>600</v>
      </c>
      <c r="D26" s="1">
        <v>0</v>
      </c>
      <c r="E26" s="1">
        <v>600</v>
      </c>
    </row>
    <row r="27" spans="1:5" ht="15.5" x14ac:dyDescent="0.35">
      <c r="A27" s="1">
        <v>2444000005</v>
      </c>
      <c r="B27" s="1" t="s">
        <v>26</v>
      </c>
      <c r="C27" s="1">
        <v>240</v>
      </c>
      <c r="D27" s="1">
        <v>0</v>
      </c>
      <c r="E27" s="1">
        <v>240</v>
      </c>
    </row>
    <row r="28" spans="1:5" ht="15.5" x14ac:dyDescent="0.35">
      <c r="A28" s="1">
        <v>2444000006</v>
      </c>
      <c r="B28" s="1" t="s">
        <v>27</v>
      </c>
      <c r="C28" s="1">
        <v>250</v>
      </c>
      <c r="D28" s="1">
        <v>0</v>
      </c>
      <c r="E28" s="1">
        <v>250</v>
      </c>
    </row>
    <row r="29" spans="1:5" ht="15.5" x14ac:dyDescent="0.35">
      <c r="A29" s="1">
        <v>2444000007</v>
      </c>
      <c r="B29" s="1" t="s">
        <v>28</v>
      </c>
      <c r="C29" s="1">
        <v>280</v>
      </c>
      <c r="D29" s="1">
        <v>0</v>
      </c>
      <c r="E29" s="1">
        <v>280</v>
      </c>
    </row>
    <row r="30" spans="1:5" ht="15.5" x14ac:dyDescent="0.35">
      <c r="A30" s="1">
        <v>2450000001</v>
      </c>
      <c r="B30" s="1" t="s">
        <v>29</v>
      </c>
      <c r="C30" s="1"/>
      <c r="D30" s="1"/>
      <c r="E30" s="1"/>
    </row>
    <row r="31" spans="1:5" ht="15.5" x14ac:dyDescent="0.35">
      <c r="A31" s="1">
        <v>2450000002</v>
      </c>
      <c r="B31" s="1" t="s">
        <v>30</v>
      </c>
      <c r="C31" s="1"/>
      <c r="D31" s="1"/>
      <c r="E31" s="1"/>
    </row>
    <row r="32" spans="1:5" ht="15.5" x14ac:dyDescent="0.35">
      <c r="A32" s="5" t="s">
        <v>31</v>
      </c>
      <c r="B32" s="7"/>
      <c r="C32" s="5">
        <f>SUM(C13:C31)</f>
        <v>6852</v>
      </c>
      <c r="D32" s="5">
        <v>0</v>
      </c>
      <c r="E32" s="5">
        <f>SUM(E13:E31)</f>
        <v>6852</v>
      </c>
    </row>
    <row r="33" spans="1:5" ht="15.5" x14ac:dyDescent="0.35">
      <c r="A33" s="20" t="s">
        <v>32</v>
      </c>
      <c r="B33" s="21"/>
      <c r="C33" s="8">
        <f>+C9+C32</f>
        <v>19125</v>
      </c>
      <c r="D33" s="8">
        <v>0</v>
      </c>
      <c r="E33" s="8">
        <f>+E9+E32</f>
        <v>19125</v>
      </c>
    </row>
    <row r="34" spans="1:5" ht="15.5" x14ac:dyDescent="0.35">
      <c r="A34" s="12" t="s">
        <v>33</v>
      </c>
      <c r="B34" s="18"/>
      <c r="C34" s="18"/>
      <c r="D34" s="18"/>
      <c r="E34" s="19"/>
    </row>
    <row r="35" spans="1:5" ht="15.5" x14ac:dyDescent="0.35">
      <c r="A35" s="6">
        <v>3340000001</v>
      </c>
      <c r="B35" s="6" t="s">
        <v>34</v>
      </c>
      <c r="C35" s="1">
        <v>480</v>
      </c>
      <c r="D35" s="1">
        <v>0</v>
      </c>
      <c r="E35" s="1">
        <v>480</v>
      </c>
    </row>
    <row r="36" spans="1:5" ht="15.5" x14ac:dyDescent="0.35">
      <c r="A36" s="6">
        <v>3340000002</v>
      </c>
      <c r="B36" s="6" t="s">
        <v>35</v>
      </c>
      <c r="C36" s="1">
        <v>168</v>
      </c>
      <c r="D36" s="1">
        <v>0</v>
      </c>
      <c r="E36" s="1">
        <v>168</v>
      </c>
    </row>
    <row r="37" spans="1:5" ht="15.5" x14ac:dyDescent="0.35">
      <c r="A37" s="6">
        <v>3340000003</v>
      </c>
      <c r="B37" s="6" t="s">
        <v>36</v>
      </c>
      <c r="C37" s="1">
        <v>192</v>
      </c>
      <c r="D37" s="1">
        <v>0</v>
      </c>
      <c r="E37" s="1">
        <v>192</v>
      </c>
    </row>
    <row r="38" spans="1:5" ht="15.5" x14ac:dyDescent="0.35">
      <c r="A38" s="6">
        <v>3340000004</v>
      </c>
      <c r="B38" s="6" t="s">
        <v>37</v>
      </c>
      <c r="C38" s="1">
        <v>441</v>
      </c>
      <c r="D38" s="1">
        <v>0</v>
      </c>
      <c r="E38" s="1">
        <v>441</v>
      </c>
    </row>
    <row r="39" spans="1:5" ht="15.5" x14ac:dyDescent="0.35">
      <c r="A39" s="6">
        <v>3340000005</v>
      </c>
      <c r="B39" s="9" t="s">
        <v>38</v>
      </c>
      <c r="C39" s="1">
        <v>32.5</v>
      </c>
      <c r="D39" s="1">
        <v>0</v>
      </c>
      <c r="E39" s="1">
        <v>32.5</v>
      </c>
    </row>
    <row r="40" spans="1:5" ht="15.5" x14ac:dyDescent="0.35">
      <c r="A40" s="6">
        <v>3340000015</v>
      </c>
      <c r="B40" s="6" t="s">
        <v>39</v>
      </c>
      <c r="C40" s="1">
        <v>15</v>
      </c>
      <c r="D40" s="1">
        <v>0</v>
      </c>
      <c r="E40" s="1">
        <v>15</v>
      </c>
    </row>
    <row r="41" spans="1:5" ht="15.5" x14ac:dyDescent="0.35">
      <c r="A41" s="6">
        <v>3340000016</v>
      </c>
      <c r="B41" s="6" t="s">
        <v>40</v>
      </c>
      <c r="C41" s="1">
        <v>14.96</v>
      </c>
      <c r="D41" s="1">
        <v>0</v>
      </c>
      <c r="E41" s="1">
        <v>14.96</v>
      </c>
    </row>
    <row r="42" spans="1:5" ht="15.5" x14ac:dyDescent="0.35">
      <c r="A42" s="6">
        <v>3340000017</v>
      </c>
      <c r="B42" s="6" t="s">
        <v>41</v>
      </c>
      <c r="C42" s="1">
        <v>7.1</v>
      </c>
      <c r="D42" s="1">
        <v>0</v>
      </c>
      <c r="E42" s="1">
        <v>7.1</v>
      </c>
    </row>
    <row r="43" spans="1:5" ht="15.5" x14ac:dyDescent="0.35">
      <c r="A43" s="6">
        <v>3340000006</v>
      </c>
      <c r="B43" s="6" t="s">
        <v>42</v>
      </c>
      <c r="C43" s="1">
        <v>38.5</v>
      </c>
      <c r="D43" s="1">
        <v>0</v>
      </c>
      <c r="E43" s="1">
        <v>38.5</v>
      </c>
    </row>
    <row r="44" spans="1:5" ht="15.5" x14ac:dyDescent="0.35">
      <c r="A44" s="6">
        <v>3340000018</v>
      </c>
      <c r="B44" s="6" t="s">
        <v>43</v>
      </c>
      <c r="C44" s="1">
        <v>66.5</v>
      </c>
      <c r="D44" s="1">
        <v>0</v>
      </c>
      <c r="E44" s="1">
        <v>66.5</v>
      </c>
    </row>
    <row r="45" spans="1:5" ht="15.5" x14ac:dyDescent="0.35">
      <c r="A45" s="6">
        <v>3340000019</v>
      </c>
      <c r="B45" s="6" t="s">
        <v>44</v>
      </c>
      <c r="C45" s="1">
        <v>25</v>
      </c>
      <c r="D45" s="1">
        <v>0</v>
      </c>
      <c r="E45" s="1">
        <v>25</v>
      </c>
    </row>
    <row r="46" spans="1:5" ht="15.5" x14ac:dyDescent="0.35">
      <c r="A46" s="6">
        <v>3340000020</v>
      </c>
      <c r="B46" s="6" t="s">
        <v>45</v>
      </c>
      <c r="C46" s="1">
        <v>10</v>
      </c>
      <c r="D46" s="1">
        <v>0</v>
      </c>
      <c r="E46" s="1">
        <v>10</v>
      </c>
    </row>
    <row r="47" spans="1:5" ht="15.5" x14ac:dyDescent="0.35">
      <c r="A47" s="6">
        <v>33400000021</v>
      </c>
      <c r="B47" s="6" t="s">
        <v>46</v>
      </c>
      <c r="C47" s="1">
        <v>5</v>
      </c>
      <c r="D47" s="1">
        <v>0</v>
      </c>
      <c r="E47" s="1">
        <v>5</v>
      </c>
    </row>
    <row r="48" spans="1:5" ht="15.5" x14ac:dyDescent="0.35">
      <c r="A48" s="6">
        <v>33400000010</v>
      </c>
      <c r="B48" s="6" t="s">
        <v>47</v>
      </c>
      <c r="C48" s="1">
        <v>40</v>
      </c>
      <c r="D48" s="1">
        <v>0</v>
      </c>
      <c r="E48" s="1">
        <v>40</v>
      </c>
    </row>
    <row r="49" spans="1:5" ht="15.5" x14ac:dyDescent="0.35">
      <c r="A49" s="6">
        <v>3340000011</v>
      </c>
      <c r="B49" s="6" t="s">
        <v>48</v>
      </c>
      <c r="C49" s="1">
        <v>45</v>
      </c>
      <c r="D49" s="1">
        <v>0</v>
      </c>
      <c r="E49" s="1">
        <v>45</v>
      </c>
    </row>
    <row r="50" spans="1:5" ht="15.5" x14ac:dyDescent="0.35">
      <c r="A50" s="6">
        <v>3340000023</v>
      </c>
      <c r="B50" s="6" t="s">
        <v>49</v>
      </c>
      <c r="C50" s="1">
        <v>127.19</v>
      </c>
      <c r="D50" s="1">
        <v>0</v>
      </c>
      <c r="E50" s="1">
        <v>127.19</v>
      </c>
    </row>
    <row r="51" spans="1:5" ht="15.5" x14ac:dyDescent="0.35">
      <c r="A51" s="6">
        <v>3340000025</v>
      </c>
      <c r="B51" s="6" t="s">
        <v>50</v>
      </c>
      <c r="C51" s="1">
        <v>15</v>
      </c>
      <c r="D51" s="1">
        <v>0</v>
      </c>
      <c r="E51" s="1">
        <v>15</v>
      </c>
    </row>
    <row r="52" spans="1:5" ht="15.5" x14ac:dyDescent="0.35">
      <c r="A52" s="6">
        <v>3340000009</v>
      </c>
      <c r="B52" s="6" t="s">
        <v>51</v>
      </c>
      <c r="C52" s="1">
        <v>3.5</v>
      </c>
      <c r="D52" s="1">
        <v>0</v>
      </c>
      <c r="E52" s="1">
        <v>3.5</v>
      </c>
    </row>
    <row r="53" spans="1:5" ht="15.5" x14ac:dyDescent="0.35">
      <c r="A53" s="20" t="s">
        <v>52</v>
      </c>
      <c r="B53" s="21"/>
      <c r="C53" s="8">
        <f>SUM(C35:C52)</f>
        <v>1726.25</v>
      </c>
      <c r="D53" s="8">
        <v>0</v>
      </c>
      <c r="E53" s="8">
        <f>SUM(E35:E52)</f>
        <v>1726.25</v>
      </c>
    </row>
    <row r="54" spans="1:5" ht="15.5" x14ac:dyDescent="0.35">
      <c r="A54" s="12" t="s">
        <v>53</v>
      </c>
      <c r="B54" s="13"/>
      <c r="C54" s="13"/>
      <c r="D54" s="13"/>
      <c r="E54" s="14"/>
    </row>
    <row r="55" spans="1:5" ht="15.5" x14ac:dyDescent="0.35">
      <c r="A55" s="1">
        <v>5200000000</v>
      </c>
      <c r="B55" s="1" t="s">
        <v>54</v>
      </c>
      <c r="C55" s="1">
        <v>0</v>
      </c>
      <c r="D55" s="1">
        <v>0</v>
      </c>
      <c r="E55" s="1">
        <v>0</v>
      </c>
    </row>
    <row r="56" spans="1:5" ht="15.5" x14ac:dyDescent="0.35">
      <c r="A56" s="1">
        <v>5700000000</v>
      </c>
      <c r="B56" s="1" t="s">
        <v>55</v>
      </c>
      <c r="C56" s="1">
        <v>61500</v>
      </c>
      <c r="D56" s="1">
        <v>0</v>
      </c>
      <c r="E56" s="1">
        <v>61500</v>
      </c>
    </row>
    <row r="57" spans="1:5" ht="15.5" x14ac:dyDescent="0.35">
      <c r="A57" s="20" t="s">
        <v>56</v>
      </c>
      <c r="B57" s="21"/>
      <c r="C57" s="8">
        <v>61500</v>
      </c>
      <c r="D57" s="8">
        <v>0</v>
      </c>
      <c r="E57" s="8">
        <v>61500</v>
      </c>
    </row>
    <row r="58" spans="1:5" ht="15.5" x14ac:dyDescent="0.35">
      <c r="A58" s="16" t="s">
        <v>57</v>
      </c>
      <c r="B58" s="17"/>
      <c r="C58" s="10">
        <f>+C33+C53+C57</f>
        <v>82351.25</v>
      </c>
      <c r="D58" s="10">
        <f>+D33+D53+D57</f>
        <v>0</v>
      </c>
      <c r="E58" s="10">
        <f>+E33+E53+E57</f>
        <v>82351.25</v>
      </c>
    </row>
    <row r="59" spans="1:5" ht="15.5" x14ac:dyDescent="0.35">
      <c r="A59" s="22" t="s">
        <v>58</v>
      </c>
      <c r="B59" s="23"/>
      <c r="C59" s="23"/>
      <c r="D59" s="23"/>
      <c r="E59" s="24"/>
    </row>
    <row r="60" spans="1:5" ht="15.5" x14ac:dyDescent="0.35">
      <c r="A60" s="12" t="s">
        <v>59</v>
      </c>
      <c r="B60" s="13"/>
      <c r="C60" s="13"/>
      <c r="D60" s="13"/>
      <c r="E60" s="14"/>
    </row>
    <row r="61" spans="1:5" ht="15.5" x14ac:dyDescent="0.35">
      <c r="A61" s="1">
        <v>1010000000</v>
      </c>
      <c r="B61" s="1" t="s">
        <v>60</v>
      </c>
      <c r="C61" s="1">
        <v>80611.25</v>
      </c>
      <c r="D61" s="1">
        <v>0</v>
      </c>
      <c r="E61" s="1">
        <v>80611.25</v>
      </c>
    </row>
    <row r="62" spans="1:5" x14ac:dyDescent="0.35">
      <c r="A62" s="15" t="s">
        <v>61</v>
      </c>
      <c r="B62" s="15"/>
      <c r="C62" s="15"/>
      <c r="D62" s="15"/>
      <c r="E62" s="15"/>
    </row>
    <row r="63" spans="1:5" ht="15.5" x14ac:dyDescent="0.35">
      <c r="A63" s="1">
        <v>4040000000</v>
      </c>
      <c r="B63" s="1" t="s">
        <v>62</v>
      </c>
      <c r="C63" s="6">
        <v>1740</v>
      </c>
      <c r="D63" s="6"/>
      <c r="E63" s="6">
        <v>1740</v>
      </c>
    </row>
    <row r="64" spans="1:5" ht="15.5" x14ac:dyDescent="0.35">
      <c r="A64" s="16" t="s">
        <v>63</v>
      </c>
      <c r="B64" s="17"/>
      <c r="C64" s="11">
        <f>+C61+C63</f>
        <v>82351.25</v>
      </c>
      <c r="D64" s="11">
        <f t="shared" ref="D64:E64" si="0">+D61+D63</f>
        <v>0</v>
      </c>
      <c r="E64" s="11">
        <f t="shared" si="0"/>
        <v>82351.25</v>
      </c>
    </row>
  </sheetData>
  <mergeCells count="15">
    <mergeCell ref="A33:B33"/>
    <mergeCell ref="A1:E1"/>
    <mergeCell ref="A3:E3"/>
    <mergeCell ref="A4:E4"/>
    <mergeCell ref="A9:B9"/>
    <mergeCell ref="A10:E10"/>
    <mergeCell ref="A60:E60"/>
    <mergeCell ref="A62:E62"/>
    <mergeCell ref="A64:B64"/>
    <mergeCell ref="A34:E34"/>
    <mergeCell ref="A53:B53"/>
    <mergeCell ref="A54:E54"/>
    <mergeCell ref="A57:B57"/>
    <mergeCell ref="A58:B58"/>
    <mergeCell ref="A59:E59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Bilan initial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Congo Build JF Business</cp:lastModifiedBy>
  <dcterms:created xsi:type="dcterms:W3CDTF">2026-02-24T13:52:30Z</dcterms:created>
  <dcterms:modified xsi:type="dcterms:W3CDTF">2026-02-25T12:57:41Z</dcterms:modified>
</cp:coreProperties>
</file>